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HP CND9490C3B\Desktop\Backlog-Excel\"/>
    </mc:Choice>
  </mc:AlternateContent>
  <bookViews>
    <workbookView xWindow="0" yWindow="0" windowWidth="23040" windowHeight="9192"/>
  </bookViews>
  <sheets>
    <sheet name="Foglio1" sheetId="1" r:id="rId1"/>
    <sheet name="Foglio2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9" i="1" s="1"/>
  <c r="K24" i="1"/>
  <c r="K25" i="1"/>
  <c r="K26" i="1"/>
  <c r="K27" i="1"/>
  <c r="K28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B6" i="1" l="1"/>
  <c r="C6" i="1" s="1"/>
  <c r="B3" i="1" l="1"/>
  <c r="C3" i="1" s="1"/>
  <c r="B4" i="1"/>
  <c r="C4" i="1" s="1"/>
  <c r="B5" i="1"/>
  <c r="C5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" i="1"/>
  <c r="C2" i="1" s="1"/>
  <c r="A3" i="4" l="1"/>
  <c r="H5" i="1" l="1"/>
  <c r="H13" i="1"/>
  <c r="H21" i="1"/>
  <c r="H6" i="1"/>
  <c r="H14" i="1"/>
  <c r="H22" i="1"/>
  <c r="H7" i="1"/>
  <c r="H15" i="1"/>
  <c r="H23" i="1"/>
  <c r="H8" i="1"/>
  <c r="H16" i="1"/>
  <c r="H24" i="1"/>
  <c r="H20" i="1"/>
  <c r="H9" i="1"/>
  <c r="H17" i="1"/>
  <c r="H25" i="1"/>
  <c r="H10" i="1"/>
  <c r="H18" i="1"/>
  <c r="H26" i="1"/>
  <c r="H3" i="1"/>
  <c r="H11" i="1"/>
  <c r="H19" i="1"/>
  <c r="H27" i="1"/>
  <c r="H4" i="1"/>
  <c r="H12" i="1"/>
  <c r="H28" i="1"/>
  <c r="H2" i="1"/>
  <c r="L29" i="1" l="1"/>
</calcChain>
</file>

<file path=xl/comments1.xml><?xml version="1.0" encoding="utf-8"?>
<comments xmlns="http://schemas.openxmlformats.org/spreadsheetml/2006/main">
  <authors>
    <author>HP CND9490C3B</author>
  </authors>
  <commentList>
    <comment ref="L3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Funerale Fabrizio 18.01</t>
        </r>
      </text>
    </comment>
    <comment ref="F4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29.01 e 1,2.2</t>
        </r>
      </text>
    </comment>
    <comment ref="F5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dal 20.01 al 22.01</t>
        </r>
      </text>
    </comment>
  </commentList>
</comments>
</file>

<file path=xl/sharedStrings.xml><?xml version="1.0" encoding="utf-8"?>
<sst xmlns="http://schemas.openxmlformats.org/spreadsheetml/2006/main" count="58" uniqueCount="34">
  <si>
    <t xml:space="preserve"> Start Date</t>
  </si>
  <si>
    <t>End Date</t>
  </si>
  <si>
    <t>Sprint</t>
  </si>
  <si>
    <t>Story</t>
  </si>
  <si>
    <t>Status</t>
  </si>
  <si>
    <t>PES - sviluppo servizi</t>
  </si>
  <si>
    <t>Project</t>
  </si>
  <si>
    <t>Task</t>
  </si>
  <si>
    <t>CTF Digicore R4</t>
  </si>
  <si>
    <t>Closed</t>
  </si>
  <si>
    <t>Active</t>
  </si>
  <si>
    <t>Planned</t>
  </si>
  <si>
    <t>Planned effort</t>
  </si>
  <si>
    <t xml:space="preserve">Actual Effort </t>
  </si>
  <si>
    <t>Remaining</t>
  </si>
  <si>
    <t>Ambiente Roma 2021 (Cloud CTF)</t>
  </si>
  <si>
    <t>Sistemazione Cloud</t>
  </si>
  <si>
    <t>Analisi Defect WRITE-OFF UAT</t>
  </si>
  <si>
    <t>Total</t>
  </si>
  <si>
    <t>Pending</t>
  </si>
  <si>
    <t>Today</t>
  </si>
  <si>
    <t>PM</t>
  </si>
  <si>
    <t>Michela Fuoco</t>
  </si>
  <si>
    <t>Andreina Trecca</t>
  </si>
  <si>
    <t>Inizio Sprint</t>
  </si>
  <si>
    <t>Projects</t>
  </si>
  <si>
    <t>Stories</t>
  </si>
  <si>
    <t>Tasks</t>
  </si>
  <si>
    <t>Analisi Defect</t>
  </si>
  <si>
    <t>Installazione Sit</t>
  </si>
  <si>
    <t>Giancarlo Cavarocchi</t>
  </si>
  <si>
    <t>Autoinserito CTF</t>
  </si>
  <si>
    <t>Test servizi Pes</t>
  </si>
  <si>
    <t>Write off UAT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</si>
</sst>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1E1E1E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000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wrapText="1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Normale" xfId="0" builtinId="0"/>
  </cellStyles>
  <dxfs count="5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bottom style="thin">
          <color theme="0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numFmt numFmtId="19" formatCode="dd/mm/yyyy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ella1" displayName="Tabella1" ref="A1:L29" totalsRowCount="1" headerRowDxfId="50" dataDxfId="49">
  <autoFilter ref="A1:L28"/>
  <tableColumns count="12">
    <tableColumn id="1" name="Sprint" dataDxfId="48" totalsRowDxfId="11"/>
    <tableColumn id="2" name=" Start Date" dataDxfId="47" totalsRowDxfId="10">
      <calculatedColumnFormula>Tabella5[Inizio Sprint]+(14*(A2-1))</calculatedColumnFormula>
    </tableColumn>
    <tableColumn id="3" name="End Date" dataDxfId="46" totalsRowDxfId="9">
      <calculatedColumnFormula>B2+13</calculatedColumnFormula>
    </tableColumn>
    <tableColumn id="4" name="Project" dataDxfId="45" totalsRowDxfId="8"/>
    <tableColumn id="5" name="Story" dataDxfId="44" totalsRowDxfId="7"/>
    <tableColumn id="6" name="Task" dataDxfId="43" totalsRowDxfId="6"/>
    <tableColumn id="15" name="PM" dataDxfId="42" totalsRowDxfId="5"/>
    <tableColumn id="7" name="Status" dataDxfId="41" totalsRowDxfId="4">
      <calculatedColumnFormula>IF(Foglio2!$A$3&gt;=B2,IF(ISBLANK(G2),Foglio2!$C$4,IF(Foglio2!$A$3&gt;C2,Foglio2!$C$3,Foglio2!$C$5)),Foglio2!$C$6)</calculatedColumnFormula>
    </tableColumn>
    <tableColumn id="8" name="Planned effort" dataDxfId="40" totalsRowDxfId="3"/>
    <tableColumn id="9" name="Actual Effort " dataDxfId="39" totalsRowDxfId="2"/>
    <tableColumn id="14" name="Total" totalsRowFunction="custom" dataDxfId="38" totalsRowDxfId="1">
      <calculatedColumnFormula>SUMIFS($J$2:$J$28,$A$2:$A$28,A2)</calculatedColumnFormula>
      <totalsRowFormula>SUMIF(A2:A28,Tabella10[Sprint],Tabella1[Total])</totalsRowFormula>
    </tableColumn>
    <tableColumn id="10" name="Remaining" totalsRowFunction="sum" dataDxfId="37" totalsRowDxfId="0">
      <calculatedColumnFormula>(I2-J2)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C2:C6" totalsRowShown="0" headerRowDxfId="36" dataDxfId="35">
  <autoFilter ref="C2:C6"/>
  <tableColumns count="1">
    <tableColumn id="1" name="Status" dataDxf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ella3" displayName="Tabella3" ref="A2:A3" totalsRowShown="0" headerRowDxfId="33" dataDxfId="32">
  <autoFilter ref="A2:A3"/>
  <tableColumns count="1">
    <tableColumn id="1" name="Today" dataDxfId="31">
      <calculatedColumnFormula>TODAY()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Tabella4" displayName="Tabella4" ref="E2:E6" totalsRowShown="0" headerRowDxfId="30" dataDxfId="29">
  <autoFilter ref="E2:E6"/>
  <tableColumns count="1">
    <tableColumn id="1" name="PM" dataDxfId="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Tabella5" displayName="Tabella5" ref="G2:G3" totalsRowShown="0" headerRowDxfId="27" dataDxfId="26" tableBorderDxfId="25" dataCellStyle="Normale">
  <autoFilter ref="G2:G3"/>
  <tableColumns count="1">
    <tableColumn id="1" name="Inizio Sprint" dataDxfId="24" dataCellStyle="Normale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8" name="Tabella8" displayName="Tabella8" ref="I2:I5" totalsRowShown="0" headerRowDxfId="23" dataDxfId="22">
  <autoFilter ref="I2:I5"/>
  <tableColumns count="1">
    <tableColumn id="1" name="Projects" dataDxfId="2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Tabella9" displayName="Tabella9" ref="K2:K6" totalsRowShown="0" headerRowDxfId="20" dataDxfId="19">
  <autoFilter ref="K2:K6"/>
  <tableColumns count="1">
    <tableColumn id="1" name="Stories" dataDxfId="1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Tabella6" displayName="Tabella6" ref="A8:A13" totalsRowShown="0" headerRowDxfId="17" dataDxfId="16">
  <autoFilter ref="A8:A13"/>
  <tableColumns count="1">
    <tableColumn id="1" name="Tasks" dataDxfId="1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0" name="Tabella10" displayName="Tabella10" ref="C8:C34" totalsRowShown="0" headerRowDxfId="14" dataDxfId="13">
  <autoFilter ref="C8:C34"/>
  <tableColumns count="1">
    <tableColumn id="1" name="Sprint" dataDxf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L29"/>
  <sheetViews>
    <sheetView tabSelected="1" zoomScaleNormal="100" workbookViewId="0">
      <selection activeCell="G7" sqref="G7"/>
    </sheetView>
  </sheetViews>
  <sheetFormatPr defaultRowHeight="14.4" x14ac:dyDescent="0.3"/>
  <cols>
    <col min="1" max="1" width="12.44140625" customWidth="1"/>
    <col min="2" max="3" width="12.6640625" customWidth="1"/>
    <col min="4" max="4" width="19.109375" customWidth="1"/>
    <col min="5" max="5" width="22.33203125" style="5" customWidth="1"/>
    <col min="6" max="7" width="19.6640625" style="5" customWidth="1"/>
    <col min="8" max="8" width="11.5546875" customWidth="1"/>
    <col min="9" max="9" width="14.6640625" customWidth="1"/>
    <col min="10" max="11" width="16.21875" customWidth="1"/>
    <col min="12" max="12" width="12" customWidth="1"/>
    <col min="14" max="14" width="13.21875" customWidth="1"/>
    <col min="16" max="16" width="10.5546875" bestFit="1" customWidth="1"/>
  </cols>
  <sheetData>
    <row r="1" spans="1:12" ht="21.6" customHeight="1" x14ac:dyDescent="0.3">
      <c r="A1" s="1" t="s">
        <v>2</v>
      </c>
      <c r="B1" s="1" t="s">
        <v>0</v>
      </c>
      <c r="C1" s="1" t="s">
        <v>1</v>
      </c>
      <c r="D1" s="1" t="s">
        <v>6</v>
      </c>
      <c r="E1" s="3" t="s">
        <v>3</v>
      </c>
      <c r="F1" s="3" t="s">
        <v>7</v>
      </c>
      <c r="G1" s="3" t="s">
        <v>21</v>
      </c>
      <c r="H1" s="1" t="s">
        <v>4</v>
      </c>
      <c r="I1" s="1" t="s">
        <v>12</v>
      </c>
      <c r="J1" s="1" t="s">
        <v>13</v>
      </c>
      <c r="K1" s="1" t="s">
        <v>18</v>
      </c>
      <c r="L1" s="1" t="s">
        <v>14</v>
      </c>
    </row>
    <row r="2" spans="1:12" ht="21.6" customHeight="1" x14ac:dyDescent="0.3">
      <c r="A2" s="1">
        <v>1</v>
      </c>
      <c r="B2" s="2">
        <f>Tabella5[Inizio Sprint]+(14*(A2-1))</f>
        <v>44188</v>
      </c>
      <c r="C2" s="2">
        <f>B2+13</f>
        <v>44201</v>
      </c>
      <c r="D2" s="1" t="s">
        <v>8</v>
      </c>
      <c r="E2" s="1" t="s">
        <v>5</v>
      </c>
      <c r="F2" s="1" t="s">
        <v>5</v>
      </c>
      <c r="G2" s="1" t="s">
        <v>22</v>
      </c>
      <c r="H2" s="1" t="str">
        <f ca="1">IF(Foglio2!$A$3&gt;=B2,IF(ISBLANK(G2),Foglio2!$C$4,IF(Foglio2!$A$3&gt;C2,Foglio2!$C$3,Foglio2!$C$5)),Foglio2!$C$6)</f>
        <v>Closed</v>
      </c>
      <c r="I2" s="1">
        <v>64</v>
      </c>
      <c r="J2" s="1">
        <v>64</v>
      </c>
      <c r="K2" s="1">
        <f t="shared" ref="K2:K28" si="0">SUMIFS($J$2:$J$28,$A$2:$A$28,A2)</f>
        <v>64</v>
      </c>
      <c r="L2" s="1">
        <f t="shared" ref="L2:L28" si="1">(I2-J2)</f>
        <v>0</v>
      </c>
    </row>
    <row r="3" spans="1:12" ht="21.6" customHeight="1" x14ac:dyDescent="0.3">
      <c r="A3" s="1">
        <v>2</v>
      </c>
      <c r="B3" s="2">
        <f>Tabella5[Inizio Sprint]+(14*(A3-1))</f>
        <v>44202</v>
      </c>
      <c r="C3" s="2">
        <f t="shared" ref="C3:C28" si="2">B3+13</f>
        <v>44215</v>
      </c>
      <c r="D3" s="1" t="s">
        <v>8</v>
      </c>
      <c r="E3" s="1" t="s">
        <v>5</v>
      </c>
      <c r="F3" s="1" t="s">
        <v>5</v>
      </c>
      <c r="G3" s="1" t="s">
        <v>22</v>
      </c>
      <c r="H3" s="1" t="str">
        <f ca="1">IF(Foglio2!$A$3&gt;=B3,IF(ISBLANK(G3),Foglio2!$C$4,IF(Foglio2!$A$3&gt;C3,Foglio2!$C$3,Foglio2!$C$5)),Foglio2!$C$6)</f>
        <v>Closed</v>
      </c>
      <c r="I3" s="1">
        <v>72</v>
      </c>
      <c r="J3" s="1">
        <v>64</v>
      </c>
      <c r="K3" s="1">
        <f t="shared" si="0"/>
        <v>64</v>
      </c>
      <c r="L3" s="1">
        <f t="shared" si="1"/>
        <v>8</v>
      </c>
    </row>
    <row r="4" spans="1:12" ht="21.6" customHeight="1" x14ac:dyDescent="0.3">
      <c r="A4" s="1">
        <v>3</v>
      </c>
      <c r="B4" s="2">
        <f>Tabella5[Inizio Sprint]+(14*(A4-1))</f>
        <v>44216</v>
      </c>
      <c r="C4" s="2">
        <f t="shared" si="2"/>
        <v>44229</v>
      </c>
      <c r="D4" s="4" t="s">
        <v>15</v>
      </c>
      <c r="E4" s="3" t="s">
        <v>16</v>
      </c>
      <c r="F4" s="3" t="s">
        <v>16</v>
      </c>
      <c r="G4" s="1" t="s">
        <v>31</v>
      </c>
      <c r="H4" s="1" t="str">
        <f ca="1">IF(Foglio2!$A$3&gt;=B4,IF(ISBLANK(G4),Foglio2!$C$4,IF(Foglio2!$A$3&gt;C4,Foglio2!$C$3,Foglio2!$C$5)),Foglio2!$C$6)</f>
        <v>Closed</v>
      </c>
      <c r="I4" s="1">
        <v>56</v>
      </c>
      <c r="J4" s="1">
        <v>56</v>
      </c>
      <c r="K4" s="1">
        <f t="shared" si="0"/>
        <v>80</v>
      </c>
      <c r="L4" s="1">
        <f t="shared" si="1"/>
        <v>0</v>
      </c>
    </row>
    <row r="5" spans="1:12" ht="33.6" customHeight="1" x14ac:dyDescent="0.3">
      <c r="A5" s="1">
        <v>3</v>
      </c>
      <c r="B5" s="2">
        <f>Tabella5[Inizio Sprint]+(14*(A5-1))</f>
        <v>44216</v>
      </c>
      <c r="C5" s="2">
        <f t="shared" si="2"/>
        <v>44229</v>
      </c>
      <c r="D5" s="1" t="s">
        <v>8</v>
      </c>
      <c r="E5" s="3" t="s">
        <v>17</v>
      </c>
      <c r="F5" s="3" t="s">
        <v>28</v>
      </c>
      <c r="G5" s="1"/>
      <c r="H5" s="1" t="str">
        <f ca="1">IF(Foglio2!$A$3&gt;=B5,IF(ISBLANK(G5),Foglio2!$C$4,IF(Foglio2!$A$3&gt;C5,Foglio2!$C$3,Foglio2!$C$5)),Foglio2!$C$6)</f>
        <v>Pending</v>
      </c>
      <c r="I5" s="1">
        <v>24</v>
      </c>
      <c r="J5" s="1">
        <v>24</v>
      </c>
      <c r="K5" s="1">
        <f t="shared" si="0"/>
        <v>80</v>
      </c>
      <c r="L5" s="1">
        <f t="shared" si="1"/>
        <v>0</v>
      </c>
    </row>
    <row r="6" spans="1:12" ht="21.6" customHeight="1" x14ac:dyDescent="0.3">
      <c r="A6" s="1">
        <v>4</v>
      </c>
      <c r="B6" s="9">
        <f>Tabella5[Inizio Sprint]+(14*(A6-1))</f>
        <v>44230</v>
      </c>
      <c r="C6" s="9">
        <f>B6+13</f>
        <v>44243</v>
      </c>
      <c r="D6" s="1" t="s">
        <v>15</v>
      </c>
      <c r="E6" s="1" t="s">
        <v>16</v>
      </c>
      <c r="F6" s="1" t="s">
        <v>32</v>
      </c>
      <c r="G6" s="1" t="s">
        <v>22</v>
      </c>
      <c r="H6" s="1" t="str">
        <f ca="1">IF(Foglio2!$A$3&gt;=B6,IF(ISBLANK(G6),Foglio2!$C$4,IF(Foglio2!$A$3&gt;C6,Foglio2!$C$3,Foglio2!$C$5)),Foglio2!$C$6)</f>
        <v>Active</v>
      </c>
      <c r="I6" s="1">
        <v>40</v>
      </c>
      <c r="J6" s="1">
        <v>40</v>
      </c>
      <c r="K6" s="10">
        <f t="shared" si="0"/>
        <v>40</v>
      </c>
      <c r="L6" s="10">
        <f>(I6-J6)</f>
        <v>0</v>
      </c>
    </row>
    <row r="7" spans="1:12" ht="21.6" customHeight="1" x14ac:dyDescent="0.3">
      <c r="A7" s="1">
        <v>5</v>
      </c>
      <c r="B7" s="2">
        <f>Tabella5[Inizio Sprint]+(14*(A7-1))</f>
        <v>44244</v>
      </c>
      <c r="C7" s="2">
        <f t="shared" si="2"/>
        <v>44257</v>
      </c>
      <c r="D7" s="1"/>
      <c r="E7" s="1"/>
      <c r="F7" s="1"/>
      <c r="G7" s="1"/>
      <c r="H7" s="1" t="str">
        <f ca="1">IF(Foglio2!$A$3&gt;=B7,IF(ISBLANK(G7),Foglio2!$C$4,IF(Foglio2!$A$3&gt;C7,Foglio2!$C$3,Foglio2!$C$5)),Foglio2!$C$6)</f>
        <v>Planned</v>
      </c>
      <c r="I7" s="1"/>
      <c r="J7" s="1"/>
      <c r="K7" s="1">
        <f t="shared" si="0"/>
        <v>0</v>
      </c>
      <c r="L7" s="1">
        <f t="shared" si="1"/>
        <v>0</v>
      </c>
    </row>
    <row r="8" spans="1:12" ht="21.6" customHeight="1" x14ac:dyDescent="0.3">
      <c r="A8" s="1">
        <v>6</v>
      </c>
      <c r="B8" s="2">
        <f>Tabella5[Inizio Sprint]+(14*(A8-1))</f>
        <v>44258</v>
      </c>
      <c r="C8" s="2">
        <f t="shared" si="2"/>
        <v>44271</v>
      </c>
      <c r="D8" s="1"/>
      <c r="E8" s="1"/>
      <c r="F8" s="1"/>
      <c r="G8" s="1"/>
      <c r="H8" s="1" t="str">
        <f ca="1">IF(Foglio2!$A$3&gt;=B8,IF(ISBLANK(G8),Foglio2!$C$4,IF(Foglio2!$A$3&gt;C8,Foglio2!$C$3,Foglio2!$C$5)),Foglio2!$C$6)</f>
        <v>Planned</v>
      </c>
      <c r="I8" s="1"/>
      <c r="J8" s="1"/>
      <c r="K8" s="1">
        <f t="shared" si="0"/>
        <v>0</v>
      </c>
      <c r="L8" s="1">
        <f t="shared" si="1"/>
        <v>0</v>
      </c>
    </row>
    <row r="9" spans="1:12" ht="21.6" customHeight="1" x14ac:dyDescent="0.3">
      <c r="A9" s="1">
        <v>7</v>
      </c>
      <c r="B9" s="2">
        <f>Tabella5[Inizio Sprint]+(14*(A9-1))</f>
        <v>44272</v>
      </c>
      <c r="C9" s="2">
        <f t="shared" si="2"/>
        <v>44285</v>
      </c>
      <c r="D9" s="1"/>
      <c r="E9" s="1"/>
      <c r="F9" s="1"/>
      <c r="G9" s="1"/>
      <c r="H9" s="1" t="str">
        <f ca="1">IF(Foglio2!$A$3&gt;=B9,IF(ISBLANK(G9),Foglio2!$C$4,IF(Foglio2!$A$3&gt;C9,Foglio2!$C$3,Foglio2!$C$5)),Foglio2!$C$6)</f>
        <v>Planned</v>
      </c>
      <c r="I9" s="1"/>
      <c r="J9" s="1"/>
      <c r="K9" s="1">
        <f t="shared" si="0"/>
        <v>0</v>
      </c>
      <c r="L9" s="1">
        <f t="shared" si="1"/>
        <v>0</v>
      </c>
    </row>
    <row r="10" spans="1:12" ht="21.6" customHeight="1" x14ac:dyDescent="0.3">
      <c r="A10" s="1">
        <v>8</v>
      </c>
      <c r="B10" s="2">
        <f>Tabella5[Inizio Sprint]+(14*(A10-1))</f>
        <v>44286</v>
      </c>
      <c r="C10" s="2">
        <f t="shared" si="2"/>
        <v>44299</v>
      </c>
      <c r="D10" s="1"/>
      <c r="E10" s="1"/>
      <c r="F10" s="1"/>
      <c r="G10" s="1"/>
      <c r="H10" s="1" t="str">
        <f ca="1">IF(Foglio2!$A$3&gt;=B10,IF(ISBLANK(G10),Foglio2!$C$4,IF(Foglio2!$A$3&gt;C10,Foglio2!$C$3,Foglio2!$C$5)),Foglio2!$C$6)</f>
        <v>Planned</v>
      </c>
      <c r="I10" s="1"/>
      <c r="J10" s="1"/>
      <c r="K10" s="1">
        <f t="shared" si="0"/>
        <v>0</v>
      </c>
      <c r="L10" s="1">
        <f t="shared" si="1"/>
        <v>0</v>
      </c>
    </row>
    <row r="11" spans="1:12" ht="21.6" customHeight="1" x14ac:dyDescent="0.3">
      <c r="A11" s="1">
        <v>9</v>
      </c>
      <c r="B11" s="2">
        <f>Tabella5[Inizio Sprint]+(14*(A11-1))</f>
        <v>44300</v>
      </c>
      <c r="C11" s="2">
        <f t="shared" si="2"/>
        <v>44313</v>
      </c>
      <c r="D11" s="1"/>
      <c r="E11" s="1"/>
      <c r="F11" s="1"/>
      <c r="G11" s="1"/>
      <c r="H11" s="1" t="str">
        <f ca="1">IF(Foglio2!$A$3&gt;=B11,IF(ISBLANK(G11),Foglio2!$C$4,IF(Foglio2!$A$3&gt;C11,Foglio2!$C$3,Foglio2!$C$5)),Foglio2!$C$6)</f>
        <v>Planned</v>
      </c>
      <c r="I11" s="1"/>
      <c r="J11" s="1"/>
      <c r="K11" s="1">
        <f t="shared" si="0"/>
        <v>0</v>
      </c>
      <c r="L11" s="1">
        <f t="shared" si="1"/>
        <v>0</v>
      </c>
    </row>
    <row r="12" spans="1:12" ht="21.6" customHeight="1" x14ac:dyDescent="0.3">
      <c r="A12" s="1">
        <v>10</v>
      </c>
      <c r="B12" s="2">
        <f>Tabella5[Inizio Sprint]+(14*(A12-1))</f>
        <v>44314</v>
      </c>
      <c r="C12" s="2">
        <f t="shared" si="2"/>
        <v>44327</v>
      </c>
      <c r="D12" s="1"/>
      <c r="E12" s="1"/>
      <c r="F12" s="1"/>
      <c r="G12" s="1"/>
      <c r="H12" s="1" t="str">
        <f ca="1">IF(Foglio2!$A$3&gt;=B12,IF(ISBLANK(G12),Foglio2!$C$4,IF(Foglio2!$A$3&gt;C12,Foglio2!$C$3,Foglio2!$C$5)),Foglio2!$C$6)</f>
        <v>Planned</v>
      </c>
      <c r="I12" s="1"/>
      <c r="J12" s="1"/>
      <c r="K12" s="1">
        <f t="shared" si="0"/>
        <v>0</v>
      </c>
      <c r="L12" s="1">
        <f t="shared" si="1"/>
        <v>0</v>
      </c>
    </row>
    <row r="13" spans="1:12" ht="21.6" customHeight="1" x14ac:dyDescent="0.3">
      <c r="A13" s="1">
        <v>11</v>
      </c>
      <c r="B13" s="2">
        <f>Tabella5[Inizio Sprint]+(14*(A13-1))</f>
        <v>44328</v>
      </c>
      <c r="C13" s="2">
        <f t="shared" si="2"/>
        <v>44341</v>
      </c>
      <c r="D13" s="1"/>
      <c r="E13" s="1"/>
      <c r="F13" s="1"/>
      <c r="G13" s="1"/>
      <c r="H13" s="1" t="str">
        <f ca="1">IF(Foglio2!$A$3&gt;=B13,IF(ISBLANK(G13),Foglio2!$C$4,IF(Foglio2!$A$3&gt;C13,Foglio2!$C$3,Foglio2!$C$5)),Foglio2!$C$6)</f>
        <v>Planned</v>
      </c>
      <c r="I13" s="1"/>
      <c r="J13" s="1"/>
      <c r="K13" s="1">
        <f t="shared" si="0"/>
        <v>0</v>
      </c>
      <c r="L13" s="1">
        <f t="shared" si="1"/>
        <v>0</v>
      </c>
    </row>
    <row r="14" spans="1:12" ht="21.6" customHeight="1" x14ac:dyDescent="0.3">
      <c r="A14" s="1">
        <v>12</v>
      </c>
      <c r="B14" s="2">
        <f>Tabella5[Inizio Sprint]+(14*(A14-1))</f>
        <v>44342</v>
      </c>
      <c r="C14" s="2">
        <f t="shared" si="2"/>
        <v>44355</v>
      </c>
      <c r="D14" s="1"/>
      <c r="E14" s="1"/>
      <c r="F14" s="1"/>
      <c r="G14" s="1"/>
      <c r="H14" s="1" t="str">
        <f ca="1">IF(Foglio2!$A$3&gt;=B14,IF(ISBLANK(G14),Foglio2!$C$4,IF(Foglio2!$A$3&gt;C14,Foglio2!$C$3,Foglio2!$C$5)),Foglio2!$C$6)</f>
        <v>Planned</v>
      </c>
      <c r="I14" s="1"/>
      <c r="J14" s="1"/>
      <c r="K14" s="1">
        <f t="shared" si="0"/>
        <v>0</v>
      </c>
      <c r="L14" s="1">
        <f t="shared" si="1"/>
        <v>0</v>
      </c>
    </row>
    <row r="15" spans="1:12" ht="21.6" customHeight="1" x14ac:dyDescent="0.3">
      <c r="A15" s="1">
        <v>13</v>
      </c>
      <c r="B15" s="2">
        <f>Tabella5[Inizio Sprint]+(14*(A15-1))</f>
        <v>44356</v>
      </c>
      <c r="C15" s="2">
        <f t="shared" si="2"/>
        <v>44369</v>
      </c>
      <c r="D15" s="1"/>
      <c r="E15" s="1"/>
      <c r="F15" s="1"/>
      <c r="G15" s="1"/>
      <c r="H15" s="1" t="str">
        <f ca="1">IF(Foglio2!$A$3&gt;=B15,IF(ISBLANK(G15),Foglio2!$C$4,IF(Foglio2!$A$3&gt;C15,Foglio2!$C$3,Foglio2!$C$5)),Foglio2!$C$6)</f>
        <v>Planned</v>
      </c>
      <c r="I15" s="1"/>
      <c r="J15" s="1"/>
      <c r="K15" s="1">
        <f t="shared" si="0"/>
        <v>0</v>
      </c>
      <c r="L15" s="1">
        <f t="shared" si="1"/>
        <v>0</v>
      </c>
    </row>
    <row r="16" spans="1:12" ht="21.6" customHeight="1" x14ac:dyDescent="0.3">
      <c r="A16" s="1">
        <v>14</v>
      </c>
      <c r="B16" s="2">
        <f>Tabella5[Inizio Sprint]+(14*(A16-1))</f>
        <v>44370</v>
      </c>
      <c r="C16" s="2">
        <f t="shared" si="2"/>
        <v>44383</v>
      </c>
      <c r="D16" s="1"/>
      <c r="E16" s="1"/>
      <c r="F16" s="1"/>
      <c r="G16" s="1"/>
      <c r="H16" s="1" t="str">
        <f ca="1">IF(Foglio2!$A$3&gt;=B16,IF(ISBLANK(G16),Foglio2!$C$4,IF(Foglio2!$A$3&gt;C16,Foglio2!$C$3,Foglio2!$C$5)),Foglio2!$C$6)</f>
        <v>Planned</v>
      </c>
      <c r="I16" s="1"/>
      <c r="J16" s="1"/>
      <c r="K16" s="1">
        <f t="shared" si="0"/>
        <v>0</v>
      </c>
      <c r="L16" s="1">
        <f t="shared" si="1"/>
        <v>0</v>
      </c>
    </row>
    <row r="17" spans="1:12" ht="21.6" customHeight="1" x14ac:dyDescent="0.3">
      <c r="A17" s="1">
        <v>15</v>
      </c>
      <c r="B17" s="2">
        <f>Tabella5[Inizio Sprint]+(14*(A17-1))</f>
        <v>44384</v>
      </c>
      <c r="C17" s="2">
        <f t="shared" si="2"/>
        <v>44397</v>
      </c>
      <c r="D17" s="1"/>
      <c r="E17" s="1"/>
      <c r="F17" s="1"/>
      <c r="G17" s="1"/>
      <c r="H17" s="1" t="str">
        <f ca="1">IF(Foglio2!$A$3&gt;=B17,IF(ISBLANK(G17),Foglio2!$C$4,IF(Foglio2!$A$3&gt;C17,Foglio2!$C$3,Foglio2!$C$5)),Foglio2!$C$6)</f>
        <v>Planned</v>
      </c>
      <c r="I17" s="1"/>
      <c r="J17" s="1"/>
      <c r="K17" s="1">
        <f t="shared" si="0"/>
        <v>0</v>
      </c>
      <c r="L17" s="1">
        <f t="shared" si="1"/>
        <v>0</v>
      </c>
    </row>
    <row r="18" spans="1:12" ht="21.6" customHeight="1" x14ac:dyDescent="0.3">
      <c r="A18" s="1">
        <v>16</v>
      </c>
      <c r="B18" s="2">
        <f>Tabella5[Inizio Sprint]+(14*(A18-1))</f>
        <v>44398</v>
      </c>
      <c r="C18" s="2">
        <f t="shared" si="2"/>
        <v>44411</v>
      </c>
      <c r="D18" s="1"/>
      <c r="E18" s="1"/>
      <c r="F18" s="1"/>
      <c r="G18" s="1"/>
      <c r="H18" s="1" t="str">
        <f ca="1">IF(Foglio2!$A$3&gt;=B18,IF(ISBLANK(G18),Foglio2!$C$4,IF(Foglio2!$A$3&gt;C18,Foglio2!$C$3,Foglio2!$C$5)),Foglio2!$C$6)</f>
        <v>Planned</v>
      </c>
      <c r="I18" s="1"/>
      <c r="J18" s="1"/>
      <c r="K18" s="1">
        <f t="shared" si="0"/>
        <v>0</v>
      </c>
      <c r="L18" s="1">
        <f t="shared" si="1"/>
        <v>0</v>
      </c>
    </row>
    <row r="19" spans="1:12" ht="21.6" customHeight="1" x14ac:dyDescent="0.3">
      <c r="A19" s="1">
        <v>17</v>
      </c>
      <c r="B19" s="2">
        <f>Tabella5[Inizio Sprint]+(14*(A19-1))</f>
        <v>44412</v>
      </c>
      <c r="C19" s="2">
        <f t="shared" si="2"/>
        <v>44425</v>
      </c>
      <c r="D19" s="1"/>
      <c r="E19" s="1"/>
      <c r="F19" s="1"/>
      <c r="G19" s="1"/>
      <c r="H19" s="1" t="str">
        <f ca="1">IF(Foglio2!$A$3&gt;=B19,IF(ISBLANK(G19),Foglio2!$C$4,IF(Foglio2!$A$3&gt;C19,Foglio2!$C$3,Foglio2!$C$5)),Foglio2!$C$6)</f>
        <v>Planned</v>
      </c>
      <c r="I19" s="1"/>
      <c r="J19" s="1"/>
      <c r="K19" s="1">
        <f t="shared" si="0"/>
        <v>0</v>
      </c>
      <c r="L19" s="1">
        <f t="shared" si="1"/>
        <v>0</v>
      </c>
    </row>
    <row r="20" spans="1:12" ht="21.6" customHeight="1" x14ac:dyDescent="0.3">
      <c r="A20" s="1">
        <v>18</v>
      </c>
      <c r="B20" s="2">
        <f>Tabella5[Inizio Sprint]+(14*(A20-1))</f>
        <v>44426</v>
      </c>
      <c r="C20" s="2">
        <f t="shared" si="2"/>
        <v>44439</v>
      </c>
      <c r="D20" s="1"/>
      <c r="E20" s="1"/>
      <c r="F20" s="1"/>
      <c r="G20" s="1"/>
      <c r="H20" s="1" t="str">
        <f ca="1">IF(Foglio2!$A$3&gt;=B20,IF(ISBLANK(G20),Foglio2!$C$4,IF(Foglio2!$A$3&gt;C20,Foglio2!$C$3,Foglio2!$C$5)),Foglio2!$C$6)</f>
        <v>Planned</v>
      </c>
      <c r="I20" s="1"/>
      <c r="J20" s="1"/>
      <c r="K20" s="1">
        <f t="shared" si="0"/>
        <v>0</v>
      </c>
      <c r="L20" s="1">
        <f t="shared" si="1"/>
        <v>0</v>
      </c>
    </row>
    <row r="21" spans="1:12" ht="21.6" customHeight="1" x14ac:dyDescent="0.3">
      <c r="A21" s="1">
        <v>19</v>
      </c>
      <c r="B21" s="2">
        <f>Tabella5[Inizio Sprint]+(14*(A21-1))</f>
        <v>44440</v>
      </c>
      <c r="C21" s="2">
        <f t="shared" si="2"/>
        <v>44453</v>
      </c>
      <c r="D21" s="1"/>
      <c r="E21" s="1"/>
      <c r="F21" s="1"/>
      <c r="G21" s="1"/>
      <c r="H21" s="1" t="str">
        <f ca="1">IF(Foglio2!$A$3&gt;=B21,IF(ISBLANK(G21),Foglio2!$C$4,IF(Foglio2!$A$3&gt;C21,Foglio2!$C$3,Foglio2!$C$5)),Foglio2!$C$6)</f>
        <v>Planned</v>
      </c>
      <c r="I21" s="1"/>
      <c r="J21" s="1"/>
      <c r="K21" s="1">
        <f t="shared" si="0"/>
        <v>0</v>
      </c>
      <c r="L21" s="1">
        <f t="shared" si="1"/>
        <v>0</v>
      </c>
    </row>
    <row r="22" spans="1:12" ht="21.6" customHeight="1" x14ac:dyDescent="0.3">
      <c r="A22" s="1">
        <v>20</v>
      </c>
      <c r="B22" s="2">
        <f>Tabella5[Inizio Sprint]+(14*(A22-1))</f>
        <v>44454</v>
      </c>
      <c r="C22" s="2">
        <f t="shared" si="2"/>
        <v>44467</v>
      </c>
      <c r="D22" s="1"/>
      <c r="E22" s="1"/>
      <c r="F22" s="1"/>
      <c r="G22" s="1"/>
      <c r="H22" s="1" t="str">
        <f ca="1">IF(Foglio2!$A$3&gt;=B22,IF(ISBLANK(G22),Foglio2!$C$4,IF(Foglio2!$A$3&gt;C22,Foglio2!$C$3,Foglio2!$C$5)),Foglio2!$C$6)</f>
        <v>Planned</v>
      </c>
      <c r="I22" s="1"/>
      <c r="J22" s="1"/>
      <c r="K22" s="1">
        <f t="shared" si="0"/>
        <v>0</v>
      </c>
      <c r="L22" s="1">
        <f t="shared" si="1"/>
        <v>0</v>
      </c>
    </row>
    <row r="23" spans="1:12" ht="21.6" customHeight="1" x14ac:dyDescent="0.3">
      <c r="A23" s="1">
        <v>21</v>
      </c>
      <c r="B23" s="2">
        <f>Tabella5[Inizio Sprint]+(14*(A23-1))</f>
        <v>44468</v>
      </c>
      <c r="C23" s="2">
        <f t="shared" si="2"/>
        <v>44481</v>
      </c>
      <c r="D23" s="1"/>
      <c r="E23" s="1"/>
      <c r="F23" s="1"/>
      <c r="G23" s="1"/>
      <c r="H23" s="1" t="str">
        <f ca="1">IF(Foglio2!$A$3&gt;=B23,IF(ISBLANK(G23),Foglio2!$C$4,IF(Foglio2!$A$3&gt;C23,Foglio2!$C$3,Foglio2!$C$5)),Foglio2!$C$6)</f>
        <v>Planned</v>
      </c>
      <c r="I23" s="1"/>
      <c r="J23" s="1"/>
      <c r="K23" s="1">
        <f t="shared" si="0"/>
        <v>0</v>
      </c>
      <c r="L23" s="1">
        <f t="shared" si="1"/>
        <v>0</v>
      </c>
    </row>
    <row r="24" spans="1:12" ht="21.6" customHeight="1" x14ac:dyDescent="0.3">
      <c r="A24" s="1">
        <v>22</v>
      </c>
      <c r="B24" s="2">
        <f>Tabella5[Inizio Sprint]+(14*(A24-1))</f>
        <v>44482</v>
      </c>
      <c r="C24" s="2">
        <f t="shared" si="2"/>
        <v>44495</v>
      </c>
      <c r="D24" s="1"/>
      <c r="E24" s="1"/>
      <c r="F24" s="1"/>
      <c r="G24" s="1"/>
      <c r="H24" s="1" t="str">
        <f ca="1">IF(Foglio2!$A$3&gt;=B24,IF(ISBLANK(G24),Foglio2!$C$4,IF(Foglio2!$A$3&gt;C24,Foglio2!$C$3,Foglio2!$C$5)),Foglio2!$C$6)</f>
        <v>Planned</v>
      </c>
      <c r="I24" s="1"/>
      <c r="J24" s="1"/>
      <c r="K24" s="1">
        <f t="shared" si="0"/>
        <v>0</v>
      </c>
      <c r="L24" s="1">
        <f t="shared" si="1"/>
        <v>0</v>
      </c>
    </row>
    <row r="25" spans="1:12" ht="21.6" customHeight="1" x14ac:dyDescent="0.3">
      <c r="A25" s="1">
        <v>23</v>
      </c>
      <c r="B25" s="2">
        <f>Tabella5[Inizio Sprint]+(14*(A25-1))</f>
        <v>44496</v>
      </c>
      <c r="C25" s="2">
        <f t="shared" si="2"/>
        <v>44509</v>
      </c>
      <c r="D25" s="1"/>
      <c r="E25" s="1"/>
      <c r="F25" s="1"/>
      <c r="G25" s="1"/>
      <c r="H25" s="1" t="str">
        <f ca="1">IF(Foglio2!$A$3&gt;=B25,IF(ISBLANK(G25),Foglio2!$C$4,IF(Foglio2!$A$3&gt;C25,Foglio2!$C$3,Foglio2!$C$5)),Foglio2!$C$6)</f>
        <v>Planned</v>
      </c>
      <c r="I25" s="1"/>
      <c r="J25" s="1"/>
      <c r="K25" s="1">
        <f t="shared" si="0"/>
        <v>0</v>
      </c>
      <c r="L25" s="1">
        <f t="shared" si="1"/>
        <v>0</v>
      </c>
    </row>
    <row r="26" spans="1:12" ht="21.6" customHeight="1" x14ac:dyDescent="0.3">
      <c r="A26" s="1">
        <v>24</v>
      </c>
      <c r="B26" s="2">
        <f>Tabella5[Inizio Sprint]+(14*(A26-1))</f>
        <v>44510</v>
      </c>
      <c r="C26" s="2">
        <f t="shared" si="2"/>
        <v>44523</v>
      </c>
      <c r="D26" s="1"/>
      <c r="E26" s="1"/>
      <c r="F26" s="1"/>
      <c r="G26" s="1"/>
      <c r="H26" s="1" t="str">
        <f ca="1">IF(Foglio2!$A$3&gt;=B26,IF(ISBLANK(G26),Foglio2!$C$4,IF(Foglio2!$A$3&gt;C26,Foglio2!$C$3,Foglio2!$C$5)),Foglio2!$C$6)</f>
        <v>Planned</v>
      </c>
      <c r="I26" s="1"/>
      <c r="J26" s="1"/>
      <c r="K26" s="1">
        <f t="shared" si="0"/>
        <v>0</v>
      </c>
      <c r="L26" s="1">
        <f t="shared" si="1"/>
        <v>0</v>
      </c>
    </row>
    <row r="27" spans="1:12" ht="21.6" customHeight="1" x14ac:dyDescent="0.3">
      <c r="A27" s="1">
        <v>25</v>
      </c>
      <c r="B27" s="2">
        <f>Tabella5[Inizio Sprint]+(14*(A27-1))</f>
        <v>44524</v>
      </c>
      <c r="C27" s="2">
        <f t="shared" si="2"/>
        <v>44537</v>
      </c>
      <c r="D27" s="1"/>
      <c r="E27" s="1"/>
      <c r="F27" s="1"/>
      <c r="G27" s="1"/>
      <c r="H27" s="1" t="str">
        <f ca="1">IF(Foglio2!$A$3&gt;=B27,IF(ISBLANK(G27),Foglio2!$C$4,IF(Foglio2!$A$3&gt;C27,Foglio2!$C$3,Foglio2!$C$5)),Foglio2!$C$6)</f>
        <v>Planned</v>
      </c>
      <c r="I27" s="1"/>
      <c r="J27" s="1"/>
      <c r="K27" s="1">
        <f t="shared" si="0"/>
        <v>0</v>
      </c>
      <c r="L27" s="1">
        <f t="shared" si="1"/>
        <v>0</v>
      </c>
    </row>
    <row r="28" spans="1:12" x14ac:dyDescent="0.3">
      <c r="A28" s="1">
        <v>26</v>
      </c>
      <c r="B28" s="2">
        <f>Tabella5[Inizio Sprint]+(14*(A28-1))</f>
        <v>44538</v>
      </c>
      <c r="C28" s="2">
        <f t="shared" si="2"/>
        <v>44551</v>
      </c>
      <c r="D28" s="1"/>
      <c r="E28" s="1"/>
      <c r="F28" s="1"/>
      <c r="G28" s="1"/>
      <c r="H28" s="1" t="str">
        <f ca="1">IF(Foglio2!$A$3&gt;=B28,IF(ISBLANK(G28),Foglio2!$C$4,IF(Foglio2!$A$3&gt;C28,Foglio2!$C$3,Foglio2!$C$5)),Foglio2!$C$6)</f>
        <v>Planned</v>
      </c>
      <c r="I28" s="1"/>
      <c r="J28" s="1"/>
      <c r="K28" s="1">
        <f t="shared" si="0"/>
        <v>0</v>
      </c>
      <c r="L28" s="1">
        <f t="shared" si="1"/>
        <v>0</v>
      </c>
    </row>
    <row r="29" spans="1:12" x14ac:dyDescent="0.3">
      <c r="A29" s="1"/>
      <c r="B29" s="8"/>
      <c r="C29" s="8"/>
      <c r="D29" s="1"/>
      <c r="E29" s="1"/>
      <c r="F29" s="1"/>
      <c r="G29" s="1"/>
      <c r="H29" s="1"/>
      <c r="I29" s="1"/>
      <c r="J29" s="1"/>
      <c r="K29" s="1">
        <f>SUMIF(A2:A28,Tabella10[Sprint],Tabella1[Total])</f>
        <v>0</v>
      </c>
      <c r="L29" s="1">
        <f>SUBTOTAL(109,Tabella1[Remaining])</f>
        <v>8</v>
      </c>
    </row>
  </sheetData>
  <dataConsolidate/>
  <dataValidations count="2">
    <dataValidation type="list" allowBlank="1" showInputMessage="1" showErrorMessage="1" sqref="H30:H1048576 H1">
      <formula1>"Closed , Active , Planned  "</formula1>
    </dataValidation>
    <dataValidation type="list" allowBlank="1" showInputMessage="1" showErrorMessage="1" sqref="F30:G1048576 F1">
      <formula1>"PES - sviluppo servizi,Sistemazione Cloud"</formula1>
    </dataValidation>
  </dataValidations>
  <pageMargins left="0.7" right="0.7" top="0.75" bottom="0.75" header="0.3" footer="0.3"/>
  <pageSetup paperSize="9" orientation="portrait" horizontalDpi="90" verticalDpi="9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Foglio2!$E$3:$E$6</xm:f>
          </x14:formula1>
          <xm:sqref>G2:G28</xm:sqref>
        </x14:dataValidation>
        <x14:dataValidation type="list" allowBlank="1" showInputMessage="1" showErrorMessage="1">
          <x14:formula1>
            <xm:f>Foglio2!$I$3:$I$5</xm:f>
          </x14:formula1>
          <xm:sqref>D2:D28</xm:sqref>
        </x14:dataValidation>
        <x14:dataValidation type="list" allowBlank="1" showInputMessage="1" showErrorMessage="1">
          <x14:formula1>
            <xm:f>Foglio2!$K$3:$K$6</xm:f>
          </x14:formula1>
          <xm:sqref>E2:E28</xm:sqref>
        </x14:dataValidation>
        <x14:dataValidation type="list" allowBlank="1" showInputMessage="1" showErrorMessage="1">
          <x14:formula1>
            <xm:f>Foglio2!$A$9:$A$13</xm:f>
          </x14:formula1>
          <xm:sqref>F2:F28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L34"/>
  <sheetViews>
    <sheetView workbookViewId="0">
      <selection activeCell="I7" sqref="I7"/>
    </sheetView>
  </sheetViews>
  <sheetFormatPr defaultRowHeight="14.4" x14ac:dyDescent="0.3"/>
  <cols>
    <col min="1" max="1" width="22.88671875" customWidth="1"/>
    <col min="3" max="3" width="12.88671875" customWidth="1"/>
    <col min="5" max="5" width="16.5546875" customWidth="1"/>
    <col min="7" max="7" width="16.44140625" customWidth="1"/>
    <col min="9" max="9" width="29.5546875" customWidth="1"/>
    <col min="11" max="11" width="25.21875" customWidth="1"/>
  </cols>
  <sheetData>
    <row r="2" spans="1:12" ht="13.95" customHeight="1" x14ac:dyDescent="0.3">
      <c r="A2" s="1" t="s">
        <v>20</v>
      </c>
      <c r="B2" s="1"/>
      <c r="C2" s="1" t="s">
        <v>4</v>
      </c>
      <c r="D2" s="1"/>
      <c r="E2" s="3" t="s">
        <v>21</v>
      </c>
      <c r="F2" s="1"/>
      <c r="G2" s="1" t="s">
        <v>24</v>
      </c>
      <c r="H2" s="1"/>
      <c r="I2" s="3" t="s">
        <v>25</v>
      </c>
      <c r="J2" s="1"/>
      <c r="K2" s="1" t="s">
        <v>26</v>
      </c>
      <c r="L2" s="1"/>
    </row>
    <row r="3" spans="1:12" ht="21.6" customHeight="1" x14ac:dyDescent="0.3">
      <c r="A3" s="6">
        <f ca="1">TODAY()</f>
        <v>44236</v>
      </c>
      <c r="B3" s="1"/>
      <c r="C3" s="1" t="s">
        <v>9</v>
      </c>
      <c r="D3" s="1"/>
      <c r="E3" s="3" t="s">
        <v>30</v>
      </c>
      <c r="F3" s="1"/>
      <c r="G3" s="7">
        <v>44188</v>
      </c>
      <c r="H3" s="1"/>
      <c r="I3" s="3" t="s">
        <v>8</v>
      </c>
      <c r="J3" s="1"/>
      <c r="K3" s="3" t="s">
        <v>5</v>
      </c>
      <c r="L3" s="1"/>
    </row>
    <row r="4" spans="1:12" ht="13.95" customHeight="1" x14ac:dyDescent="0.3">
      <c r="A4" s="1"/>
      <c r="B4" s="1"/>
      <c r="C4" s="1" t="s">
        <v>19</v>
      </c>
      <c r="D4" s="1"/>
      <c r="E4" s="3" t="s">
        <v>22</v>
      </c>
      <c r="F4" s="1"/>
      <c r="G4" s="1"/>
      <c r="H4" s="1"/>
      <c r="I4" s="3" t="s">
        <v>15</v>
      </c>
      <c r="J4" s="1"/>
      <c r="K4" s="3" t="s">
        <v>16</v>
      </c>
      <c r="L4" s="1"/>
    </row>
    <row r="5" spans="1:12" ht="13.95" customHeight="1" x14ac:dyDescent="0.3">
      <c r="A5" s="1"/>
      <c r="B5" s="1"/>
      <c r="C5" s="1" t="s">
        <v>10</v>
      </c>
      <c r="D5" s="1"/>
      <c r="E5" s="3" t="s">
        <v>23</v>
      </c>
      <c r="F5" s="1"/>
      <c r="G5" s="1"/>
      <c r="H5" s="1"/>
      <c r="I5" s="3" t="s">
        <v>33</v>
      </c>
      <c r="J5" s="1"/>
      <c r="K5" s="3" t="s">
        <v>17</v>
      </c>
      <c r="L5" s="1"/>
    </row>
    <row r="6" spans="1:12" ht="13.95" customHeight="1" x14ac:dyDescent="0.3">
      <c r="A6" s="1"/>
      <c r="B6" s="1"/>
      <c r="C6" s="1" t="s">
        <v>11</v>
      </c>
      <c r="D6" s="1"/>
      <c r="E6" s="3" t="s">
        <v>31</v>
      </c>
      <c r="F6" s="1"/>
      <c r="G6" s="1"/>
      <c r="H6" s="1"/>
      <c r="I6" s="1"/>
      <c r="J6" s="1"/>
      <c r="K6" s="3"/>
      <c r="L6" s="1"/>
    </row>
    <row r="8" spans="1:12" x14ac:dyDescent="0.3">
      <c r="A8" s="3" t="s">
        <v>27</v>
      </c>
      <c r="C8" s="3" t="s">
        <v>2</v>
      </c>
    </row>
    <row r="9" spans="1:12" ht="13.2" customHeight="1" x14ac:dyDescent="0.3">
      <c r="A9" s="3" t="s">
        <v>16</v>
      </c>
      <c r="C9" s="3">
        <v>1</v>
      </c>
    </row>
    <row r="10" spans="1:12" ht="15" customHeight="1" x14ac:dyDescent="0.3">
      <c r="A10" s="3" t="s">
        <v>5</v>
      </c>
      <c r="C10" s="3">
        <v>2</v>
      </c>
    </row>
    <row r="11" spans="1:12" x14ac:dyDescent="0.3">
      <c r="A11" s="3" t="s">
        <v>28</v>
      </c>
      <c r="C11" s="3">
        <v>3</v>
      </c>
    </row>
    <row r="12" spans="1:12" x14ac:dyDescent="0.3">
      <c r="A12" s="3" t="s">
        <v>29</v>
      </c>
      <c r="C12" s="3">
        <v>4</v>
      </c>
    </row>
    <row r="13" spans="1:12" x14ac:dyDescent="0.3">
      <c r="A13" s="3" t="s">
        <v>32</v>
      </c>
      <c r="C13" s="3">
        <v>5</v>
      </c>
    </row>
    <row r="14" spans="1:12" x14ac:dyDescent="0.3">
      <c r="C14" s="3">
        <v>6</v>
      </c>
    </row>
    <row r="15" spans="1:12" x14ac:dyDescent="0.3">
      <c r="C15" s="3">
        <v>7</v>
      </c>
    </row>
    <row r="16" spans="1:12" x14ac:dyDescent="0.3">
      <c r="C16" s="3">
        <v>8</v>
      </c>
    </row>
    <row r="17" spans="3:3" x14ac:dyDescent="0.3">
      <c r="C17" s="3">
        <v>9</v>
      </c>
    </row>
    <row r="18" spans="3:3" x14ac:dyDescent="0.3">
      <c r="C18" s="3">
        <v>10</v>
      </c>
    </row>
    <row r="19" spans="3:3" x14ac:dyDescent="0.3">
      <c r="C19" s="3">
        <v>11</v>
      </c>
    </row>
    <row r="20" spans="3:3" x14ac:dyDescent="0.3">
      <c r="C20" s="3">
        <v>12</v>
      </c>
    </row>
    <row r="21" spans="3:3" x14ac:dyDescent="0.3">
      <c r="C21" s="3">
        <v>13</v>
      </c>
    </row>
    <row r="22" spans="3:3" x14ac:dyDescent="0.3">
      <c r="C22" s="3">
        <v>14</v>
      </c>
    </row>
    <row r="23" spans="3:3" ht="21.6" customHeight="1" x14ac:dyDescent="0.3">
      <c r="C23" s="3">
        <v>15</v>
      </c>
    </row>
    <row r="24" spans="3:3" ht="18" customHeight="1" x14ac:dyDescent="0.3">
      <c r="C24" s="3">
        <v>16</v>
      </c>
    </row>
    <row r="25" spans="3:3" x14ac:dyDescent="0.3">
      <c r="C25" s="3">
        <v>17</v>
      </c>
    </row>
    <row r="26" spans="3:3" ht="26.4" customHeight="1" x14ac:dyDescent="0.3">
      <c r="C26" s="3">
        <v>18</v>
      </c>
    </row>
    <row r="27" spans="3:3" x14ac:dyDescent="0.3">
      <c r="C27" s="3">
        <v>19</v>
      </c>
    </row>
    <row r="28" spans="3:3" x14ac:dyDescent="0.3">
      <c r="C28" s="3">
        <v>20</v>
      </c>
    </row>
    <row r="29" spans="3:3" x14ac:dyDescent="0.3">
      <c r="C29" s="3">
        <v>21</v>
      </c>
    </row>
    <row r="30" spans="3:3" x14ac:dyDescent="0.3">
      <c r="C30" s="3">
        <v>22</v>
      </c>
    </row>
    <row r="31" spans="3:3" x14ac:dyDescent="0.3">
      <c r="C31" s="3">
        <v>23</v>
      </c>
    </row>
    <row r="32" spans="3:3" x14ac:dyDescent="0.3">
      <c r="C32" s="3">
        <v>24</v>
      </c>
    </row>
    <row r="33" spans="3:3" x14ac:dyDescent="0.3">
      <c r="C33" s="3">
        <v>25</v>
      </c>
    </row>
    <row r="34" spans="3:3" x14ac:dyDescent="0.3">
      <c r="C34" s="3">
        <v>26</v>
      </c>
    </row>
  </sheetData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CND9490C3B</dc:creator>
  <cp:lastModifiedBy>HP CND9490C3B</cp:lastModifiedBy>
  <dcterms:created xsi:type="dcterms:W3CDTF">2021-02-02T08:46:04Z</dcterms:created>
  <dcterms:modified xsi:type="dcterms:W3CDTF">2021-02-09T08:59:50Z</dcterms:modified>
</cp:coreProperties>
</file>